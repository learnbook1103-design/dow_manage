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\Documents\카카오톡 받은 파일\"/>
    </mc:Choice>
  </mc:AlternateContent>
  <xr:revisionPtr revIDLastSave="0" documentId="13_ncr:1_{0A49CEB4-127F-4557-8487-20CF381699A8}" xr6:coauthVersionLast="47" xr6:coauthVersionMax="47" xr10:uidLastSave="{00000000-0000-0000-0000-000000000000}"/>
  <bookViews>
    <workbookView xWindow="28680" yWindow="-120" windowWidth="29040" windowHeight="15720" tabRatio="473" xr2:uid="{6E953AAB-81A4-4204-BE4F-30A8ED326AF5}"/>
  </bookViews>
  <sheets>
    <sheet name="TC 직원별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8" i="2" l="1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7" i="2"/>
  <c r="X16" i="2"/>
  <c r="X14" i="2"/>
  <c r="X13" i="2"/>
  <c r="X12" i="2"/>
  <c r="X10" i="2"/>
  <c r="X9" i="2"/>
  <c r="X8" i="2"/>
  <c r="X7" i="2"/>
  <c r="X18" i="2" l="1"/>
</calcChain>
</file>

<file path=xl/sharedStrings.xml><?xml version="1.0" encoding="utf-8"?>
<sst xmlns="http://schemas.openxmlformats.org/spreadsheetml/2006/main" count="246" uniqueCount="88">
  <si>
    <t>강미나</t>
    <phoneticPr fontId="2" type="noConversion"/>
  </si>
  <si>
    <t>박상기</t>
    <phoneticPr fontId="2" type="noConversion"/>
  </si>
  <si>
    <t>박의균</t>
    <phoneticPr fontId="2" type="noConversion"/>
  </si>
  <si>
    <t>반도체영업</t>
    <phoneticPr fontId="2" type="noConversion"/>
  </si>
  <si>
    <t>2차전지영업</t>
    <phoneticPr fontId="2" type="noConversion"/>
  </si>
  <si>
    <t>엔지니어링</t>
    <phoneticPr fontId="2" type="noConversion"/>
  </si>
  <si>
    <t>밸브파크</t>
    <phoneticPr fontId="2" type="noConversion"/>
  </si>
  <si>
    <t>생산기술</t>
    <phoneticPr fontId="2" type="noConversion"/>
  </si>
  <si>
    <t>해외영업</t>
    <phoneticPr fontId="2" type="noConversion"/>
  </si>
  <si>
    <t>이도아</t>
    <phoneticPr fontId="2" type="noConversion"/>
  </si>
  <si>
    <t>박주연</t>
    <phoneticPr fontId="2" type="noConversion"/>
  </si>
  <si>
    <t>채예은</t>
    <phoneticPr fontId="2" type="noConversion"/>
  </si>
  <si>
    <t>정광호</t>
    <phoneticPr fontId="2" type="noConversion"/>
  </si>
  <si>
    <t>이수형</t>
    <phoneticPr fontId="2" type="noConversion"/>
  </si>
  <si>
    <t>장근영</t>
    <phoneticPr fontId="2" type="noConversion"/>
  </si>
  <si>
    <t>한옥련</t>
    <phoneticPr fontId="2" type="noConversion"/>
  </si>
  <si>
    <t>국내외관리영업</t>
    <phoneticPr fontId="2" type="noConversion"/>
  </si>
  <si>
    <t>2017.01.02(09)</t>
    <phoneticPr fontId="2" type="noConversion"/>
  </si>
  <si>
    <t>2003.08.21(23)</t>
    <phoneticPr fontId="2" type="noConversion"/>
  </si>
  <si>
    <t>2025.02.20(01)</t>
    <phoneticPr fontId="2" type="noConversion"/>
  </si>
  <si>
    <t>2002.11.26(24)</t>
    <phoneticPr fontId="2" type="noConversion"/>
  </si>
  <si>
    <t>2022.07.12(04)</t>
    <phoneticPr fontId="2" type="noConversion"/>
  </si>
  <si>
    <t>2025.01.13(01)</t>
    <phoneticPr fontId="2" type="noConversion"/>
  </si>
  <si>
    <t>2010.10.25(16)</t>
    <phoneticPr fontId="2" type="noConversion"/>
  </si>
  <si>
    <t>2023.04.10(03)</t>
    <phoneticPr fontId="2" type="noConversion"/>
  </si>
  <si>
    <t>2008.06.09(18)</t>
    <phoneticPr fontId="2" type="noConversion"/>
  </si>
  <si>
    <t>2025.05.07(01)</t>
    <phoneticPr fontId="2" type="noConversion"/>
  </si>
  <si>
    <t>2022.07.04(04)</t>
    <phoneticPr fontId="2" type="noConversion"/>
  </si>
  <si>
    <t>2020.11.23(06)</t>
    <phoneticPr fontId="2" type="noConversion"/>
  </si>
  <si>
    <t>2024.11.25(02)</t>
    <phoneticPr fontId="2" type="noConversion"/>
  </si>
  <si>
    <t>2025.04.14(01)</t>
    <phoneticPr fontId="2" type="noConversion"/>
  </si>
  <si>
    <t>2013.10.07(13)</t>
    <phoneticPr fontId="2" type="noConversion"/>
  </si>
  <si>
    <t>2025.02.03(01)</t>
    <phoneticPr fontId="2" type="noConversion"/>
  </si>
  <si>
    <t>2025.02.24(01)</t>
    <phoneticPr fontId="2" type="noConversion"/>
  </si>
  <si>
    <t>정미영</t>
    <phoneticPr fontId="2" type="noConversion"/>
  </si>
  <si>
    <t>김혜원</t>
    <phoneticPr fontId="2" type="noConversion"/>
  </si>
  <si>
    <t>김현욱</t>
    <phoneticPr fontId="2" type="noConversion"/>
  </si>
  <si>
    <t>이대희</t>
    <phoneticPr fontId="2" type="noConversion"/>
  </si>
  <si>
    <t>이재근</t>
    <phoneticPr fontId="2" type="noConversion"/>
  </si>
  <si>
    <t>안효모</t>
    <phoneticPr fontId="2" type="noConversion"/>
  </si>
  <si>
    <t>곽정원</t>
    <phoneticPr fontId="2" type="noConversion"/>
  </si>
  <si>
    <t>서현석</t>
    <phoneticPr fontId="2" type="noConversion"/>
  </si>
  <si>
    <t>직원명</t>
    <phoneticPr fontId="2" type="noConversion"/>
  </si>
  <si>
    <t>과장</t>
    <phoneticPr fontId="2" type="noConversion"/>
  </si>
  <si>
    <t>팀(부서)</t>
    <phoneticPr fontId="2" type="noConversion"/>
  </si>
  <si>
    <t>선임</t>
    <phoneticPr fontId="2" type="noConversion"/>
  </si>
  <si>
    <t>사원</t>
    <phoneticPr fontId="2" type="noConversion"/>
  </si>
  <si>
    <t>채민주</t>
    <phoneticPr fontId="2" type="noConversion"/>
  </si>
  <si>
    <t>이동익</t>
    <phoneticPr fontId="2" type="noConversion"/>
  </si>
  <si>
    <t>번호</t>
    <phoneticPr fontId="2" type="noConversion"/>
  </si>
  <si>
    <t>정상민</t>
    <phoneticPr fontId="2" type="noConversion"/>
  </si>
  <si>
    <t>염가은</t>
    <phoneticPr fontId="2" type="noConversion"/>
  </si>
  <si>
    <t>입사일자(연차)</t>
    <phoneticPr fontId="2" type="noConversion"/>
  </si>
  <si>
    <t>통신비보조금</t>
    <phoneticPr fontId="2" type="noConversion"/>
  </si>
  <si>
    <t>유류대보조금</t>
    <phoneticPr fontId="2" type="noConversion"/>
  </si>
  <si>
    <t>2026.02.02(00)</t>
    <phoneticPr fontId="2" type="noConversion"/>
  </si>
  <si>
    <t>2026.02.19(00)</t>
    <phoneticPr fontId="2" type="noConversion"/>
  </si>
  <si>
    <t>2026.02.09(00)</t>
    <phoneticPr fontId="2" type="noConversion"/>
  </si>
  <si>
    <t>2026.03.03(00)</t>
    <phoneticPr fontId="2" type="noConversion"/>
  </si>
  <si>
    <t>O</t>
    <phoneticPr fontId="2" type="noConversion"/>
  </si>
  <si>
    <t>직급/직책</t>
    <phoneticPr fontId="2" type="noConversion"/>
  </si>
  <si>
    <t>전무/팀장</t>
    <phoneticPr fontId="2" type="noConversion"/>
  </si>
  <si>
    <t>부장/팀장</t>
    <phoneticPr fontId="2" type="noConversion"/>
  </si>
  <si>
    <t>과장/팀장</t>
    <phoneticPr fontId="2" type="noConversion"/>
  </si>
  <si>
    <t>대리/팀장</t>
    <phoneticPr fontId="2" type="noConversion"/>
  </si>
  <si>
    <t>합계</t>
    <phoneticPr fontId="2" type="noConversion"/>
  </si>
  <si>
    <t>대표이사</t>
    <phoneticPr fontId="2" type="noConversion"/>
  </si>
  <si>
    <t>경조휴가</t>
    <phoneticPr fontId="2" type="noConversion"/>
  </si>
  <si>
    <t>운전자보험</t>
    <phoneticPr fontId="2" type="noConversion"/>
  </si>
  <si>
    <t>직원별합계금액</t>
    <phoneticPr fontId="2" type="noConversion"/>
  </si>
  <si>
    <t>인턴</t>
    <phoneticPr fontId="2" type="noConversion"/>
  </si>
  <si>
    <t>법인차량제공</t>
    <phoneticPr fontId="2" type="noConversion"/>
  </si>
  <si>
    <t xml:space="preserve">장기근속상여(배당) </t>
    <phoneticPr fontId="2" type="noConversion"/>
  </si>
  <si>
    <t>개인차량 주차지원</t>
    <phoneticPr fontId="2" type="noConversion"/>
  </si>
  <si>
    <t>종합건강검진(매4년)</t>
    <phoneticPr fontId="2" type="noConversion"/>
  </si>
  <si>
    <t xml:space="preserve">경조사비 </t>
    <phoneticPr fontId="2" type="noConversion"/>
  </si>
  <si>
    <t>생일(케이크/반차)</t>
    <phoneticPr fontId="2" type="noConversion"/>
  </si>
  <si>
    <t>상해보험</t>
    <phoneticPr fontId="2" type="noConversion"/>
  </si>
  <si>
    <t>교육비지원(본인/자녀)</t>
    <phoneticPr fontId="2" type="noConversion"/>
  </si>
  <si>
    <t>식대(월20만)</t>
    <phoneticPr fontId="2" type="noConversion"/>
  </si>
  <si>
    <t>퇴직금(연금)</t>
    <phoneticPr fontId="2" type="noConversion"/>
  </si>
  <si>
    <t>내일채움공제(회사지원)</t>
    <phoneticPr fontId="2" type="noConversion"/>
  </si>
  <si>
    <t>내일채움공제(국가지원)</t>
    <phoneticPr fontId="2" type="noConversion"/>
  </si>
  <si>
    <t>생일축하금(10만원/연1회)</t>
    <phoneticPr fontId="2" type="noConversion"/>
  </si>
  <si>
    <t>식권(월10만원상당)</t>
    <phoneticPr fontId="2" type="noConversion"/>
  </si>
  <si>
    <t>연봉(식대제외)</t>
    <phoneticPr fontId="2" type="noConversion"/>
  </si>
  <si>
    <t>명절상여(설,추석)</t>
    <phoneticPr fontId="2" type="noConversion"/>
  </si>
  <si>
    <t>팀장수당(1월,7월)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</si>
</sst>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0070C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41" fontId="6" fillId="2" borderId="1" xfId="0" applyNumberFormat="1" applyFont="1" applyFill="1" applyBorder="1" applyAlignment="1">
      <alignment horizontal="center" vertical="center" shrinkToFit="1"/>
    </xf>
    <xf numFmtId="41" fontId="5" fillId="2" borderId="3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41" fontId="5" fillId="3" borderId="3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41" fontId="10" fillId="0" borderId="3" xfId="1" applyFont="1" applyBorder="1" applyAlignment="1">
      <alignment horizontal="center" vertical="center"/>
    </xf>
    <xf numFmtId="41" fontId="10" fillId="2" borderId="3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DDDB-8217-409F-B927-69BAACA4D51D}">
  <dimension ref="A2:X30"/>
  <sheetViews>
    <sheetView tabSelected="1" workbookViewId="0">
      <selection activeCell="I14" sqref="I14"/>
    </sheetView>
  </sheetViews>
  <sheetFormatPr defaultColWidth="9.75" defaultRowHeight="13.5" x14ac:dyDescent="0.3"/>
  <cols>
    <col min="1" max="1" width="19.625" style="1" customWidth="1"/>
    <col min="2" max="2" width="11" style="1" customWidth="1"/>
    <col min="3" max="23" width="9.875" style="1" customWidth="1"/>
    <col min="24" max="24" width="14" style="1" customWidth="1"/>
    <col min="25" max="16384" width="9.75" style="1"/>
  </cols>
  <sheetData>
    <row r="2" spans="1:24" x14ac:dyDescent="0.3">
      <c r="A2" s="2" t="s">
        <v>49</v>
      </c>
      <c r="B2" s="2">
        <v>1</v>
      </c>
      <c r="C2" s="2">
        <v>2</v>
      </c>
      <c r="D2" s="16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1">
        <v>19</v>
      </c>
      <c r="U2" s="21">
        <v>20</v>
      </c>
      <c r="V2" s="21">
        <v>21</v>
      </c>
      <c r="W2" s="21">
        <v>22</v>
      </c>
      <c r="X2" s="2" t="s">
        <v>65</v>
      </c>
    </row>
    <row r="3" spans="1:24" ht="21" customHeight="1" x14ac:dyDescent="0.3">
      <c r="A3" s="3" t="s">
        <v>42</v>
      </c>
      <c r="B3" s="3" t="s">
        <v>1</v>
      </c>
      <c r="C3" s="3" t="s">
        <v>2</v>
      </c>
      <c r="D3" s="17" t="s">
        <v>34</v>
      </c>
      <c r="E3" s="3" t="s">
        <v>35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36</v>
      </c>
      <c r="L3" s="3" t="s">
        <v>0</v>
      </c>
      <c r="M3" s="3" t="s">
        <v>9</v>
      </c>
      <c r="N3" s="3" t="s">
        <v>12</v>
      </c>
      <c r="O3" s="3" t="s">
        <v>13</v>
      </c>
      <c r="P3" s="3" t="s">
        <v>14</v>
      </c>
      <c r="Q3" s="3" t="s">
        <v>11</v>
      </c>
      <c r="R3" s="3" t="s">
        <v>10</v>
      </c>
      <c r="S3" s="3" t="s">
        <v>15</v>
      </c>
      <c r="T3" s="22" t="s">
        <v>47</v>
      </c>
      <c r="U3" s="22" t="s">
        <v>48</v>
      </c>
      <c r="V3" s="22" t="s">
        <v>50</v>
      </c>
      <c r="W3" s="22" t="s">
        <v>51</v>
      </c>
      <c r="X3" s="3"/>
    </row>
    <row r="4" spans="1:24" x14ac:dyDescent="0.3">
      <c r="A4" s="3" t="s">
        <v>60</v>
      </c>
      <c r="B4" s="3" t="s">
        <v>66</v>
      </c>
      <c r="C4" s="3" t="s">
        <v>66</v>
      </c>
      <c r="D4" s="17" t="s">
        <v>61</v>
      </c>
      <c r="E4" s="3" t="s">
        <v>62</v>
      </c>
      <c r="F4" s="3" t="s">
        <v>63</v>
      </c>
      <c r="G4" s="3" t="s">
        <v>63</v>
      </c>
      <c r="H4" s="3" t="s">
        <v>63</v>
      </c>
      <c r="I4" s="3" t="s">
        <v>64</v>
      </c>
      <c r="J4" s="3" t="s">
        <v>63</v>
      </c>
      <c r="K4" s="3" t="s">
        <v>45</v>
      </c>
      <c r="L4" s="3" t="s">
        <v>45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43</v>
      </c>
      <c r="S4" s="3" t="s">
        <v>46</v>
      </c>
      <c r="T4" s="22" t="s">
        <v>70</v>
      </c>
      <c r="U4" s="22" t="s">
        <v>70</v>
      </c>
      <c r="V4" s="22" t="s">
        <v>70</v>
      </c>
      <c r="W4" s="22" t="s">
        <v>70</v>
      </c>
      <c r="X4" s="3"/>
    </row>
    <row r="5" spans="1:24" x14ac:dyDescent="0.3">
      <c r="A5" s="3" t="s">
        <v>44</v>
      </c>
      <c r="B5" s="4"/>
      <c r="C5" s="4"/>
      <c r="D5" s="18" t="s">
        <v>3</v>
      </c>
      <c r="E5" s="4" t="s">
        <v>16</v>
      </c>
      <c r="F5" s="4" t="s">
        <v>8</v>
      </c>
      <c r="G5" s="4" t="s">
        <v>4</v>
      </c>
      <c r="H5" s="4" t="s">
        <v>7</v>
      </c>
      <c r="I5" s="4" t="s">
        <v>6</v>
      </c>
      <c r="J5" s="4" t="s">
        <v>5</v>
      </c>
      <c r="K5" s="4" t="s">
        <v>16</v>
      </c>
      <c r="L5" s="4" t="s">
        <v>4</v>
      </c>
      <c r="M5" s="4" t="s">
        <v>6</v>
      </c>
      <c r="N5" s="4" t="s">
        <v>7</v>
      </c>
      <c r="O5" s="4" t="s">
        <v>7</v>
      </c>
      <c r="P5" s="4" t="s">
        <v>7</v>
      </c>
      <c r="Q5" s="4" t="s">
        <v>6</v>
      </c>
      <c r="R5" s="4" t="s">
        <v>3</v>
      </c>
      <c r="S5" s="4" t="s">
        <v>8</v>
      </c>
      <c r="T5" s="23" t="s">
        <v>6</v>
      </c>
      <c r="U5" s="23" t="s">
        <v>7</v>
      </c>
      <c r="V5" s="23" t="s">
        <v>16</v>
      </c>
      <c r="W5" s="23" t="s">
        <v>6</v>
      </c>
      <c r="X5" s="4"/>
    </row>
    <row r="6" spans="1:24" ht="15" customHeight="1" x14ac:dyDescent="0.3">
      <c r="A6" s="7" t="s">
        <v>52</v>
      </c>
      <c r="B6" s="10"/>
      <c r="C6" s="20" t="s">
        <v>17</v>
      </c>
      <c r="D6" s="19" t="s">
        <v>18</v>
      </c>
      <c r="E6" s="10" t="s">
        <v>20</v>
      </c>
      <c r="F6" s="10" t="s">
        <v>25</v>
      </c>
      <c r="G6" s="10" t="s">
        <v>23</v>
      </c>
      <c r="H6" s="10" t="s">
        <v>31</v>
      </c>
      <c r="I6" s="10" t="s">
        <v>28</v>
      </c>
      <c r="J6" s="10" t="s">
        <v>27</v>
      </c>
      <c r="K6" s="10" t="s">
        <v>21</v>
      </c>
      <c r="L6" s="10" t="s">
        <v>24</v>
      </c>
      <c r="M6" s="10" t="s">
        <v>29</v>
      </c>
      <c r="N6" s="11" t="s">
        <v>22</v>
      </c>
      <c r="O6" s="11" t="s">
        <v>32</v>
      </c>
      <c r="P6" s="11" t="s">
        <v>33</v>
      </c>
      <c r="Q6" s="10" t="s">
        <v>30</v>
      </c>
      <c r="R6" s="10" t="s">
        <v>19</v>
      </c>
      <c r="S6" s="12" t="s">
        <v>26</v>
      </c>
      <c r="T6" s="24" t="s">
        <v>55</v>
      </c>
      <c r="U6" s="24" t="s">
        <v>57</v>
      </c>
      <c r="V6" s="24" t="s">
        <v>56</v>
      </c>
      <c r="W6" s="24" t="s">
        <v>58</v>
      </c>
      <c r="X6" s="9"/>
    </row>
    <row r="7" spans="1:24" s="31" customFormat="1" x14ac:dyDescent="0.3">
      <c r="A7" s="28" t="s">
        <v>85</v>
      </c>
      <c r="B7" s="29">
        <v>1000000</v>
      </c>
      <c r="C7" s="29">
        <v>2000000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0">
        <f>SUM(B7:W7)</f>
        <v>3000000</v>
      </c>
    </row>
    <row r="8" spans="1:24" s="31" customFormat="1" x14ac:dyDescent="0.3">
      <c r="A8" s="28" t="s">
        <v>79</v>
      </c>
      <c r="B8" s="29">
        <v>1000000</v>
      </c>
      <c r="C8" s="29">
        <v>2000000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0">
        <f t="shared" ref="X8:X18" si="0">SUM(B8:W8)</f>
        <v>3000000</v>
      </c>
    </row>
    <row r="9" spans="1:24" s="31" customFormat="1" x14ac:dyDescent="0.3">
      <c r="A9" s="33" t="s">
        <v>80</v>
      </c>
      <c r="B9" s="29">
        <v>1000000</v>
      </c>
      <c r="C9" s="29">
        <v>2000000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0">
        <f t="shared" si="0"/>
        <v>3000000</v>
      </c>
    </row>
    <row r="10" spans="1:24" x14ac:dyDescent="0.3">
      <c r="A10" s="14" t="s">
        <v>86</v>
      </c>
      <c r="B10" s="29">
        <v>1000000</v>
      </c>
      <c r="C10" s="29">
        <v>2000000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13">
        <f t="shared" si="0"/>
        <v>3000000</v>
      </c>
    </row>
    <row r="11" spans="1:24" x14ac:dyDescent="0.3">
      <c r="A11" s="14" t="s">
        <v>87</v>
      </c>
      <c r="B11" s="29">
        <v>1000000</v>
      </c>
      <c r="C11" s="29">
        <v>2000000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13"/>
    </row>
    <row r="12" spans="1:24" x14ac:dyDescent="0.3">
      <c r="A12" s="14" t="s">
        <v>53</v>
      </c>
      <c r="B12" s="29">
        <v>1000000</v>
      </c>
      <c r="C12" s="29">
        <v>2000000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3">
        <f t="shared" si="0"/>
        <v>3000000</v>
      </c>
    </row>
    <row r="13" spans="1:24" x14ac:dyDescent="0.3">
      <c r="A13" s="14" t="s">
        <v>54</v>
      </c>
      <c r="B13" s="29">
        <v>1000000</v>
      </c>
      <c r="C13" s="29">
        <v>2000000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13">
        <f t="shared" si="0"/>
        <v>3000000</v>
      </c>
    </row>
    <row r="14" spans="1:24" x14ac:dyDescent="0.3">
      <c r="A14" s="14" t="s">
        <v>81</v>
      </c>
      <c r="B14" s="29">
        <v>1000000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13">
        <f t="shared" si="0"/>
        <v>1000000</v>
      </c>
    </row>
    <row r="15" spans="1:24" x14ac:dyDescent="0.3">
      <c r="A15" s="32" t="s">
        <v>82</v>
      </c>
      <c r="B15" s="29">
        <v>1000000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13"/>
    </row>
    <row r="16" spans="1:24" x14ac:dyDescent="0.3">
      <c r="A16" s="14" t="s">
        <v>83</v>
      </c>
      <c r="B16" s="29">
        <v>1000000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13">
        <f t="shared" si="0"/>
        <v>1000000</v>
      </c>
    </row>
    <row r="17" spans="1:24" x14ac:dyDescent="0.3">
      <c r="A17" s="14" t="s">
        <v>84</v>
      </c>
      <c r="B17" s="29">
        <v>1000000</v>
      </c>
      <c r="C17" s="29">
        <v>2000000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13">
        <f t="shared" si="0"/>
        <v>3000000</v>
      </c>
    </row>
    <row r="18" spans="1:24" ht="19.5" customHeight="1" x14ac:dyDescent="0.3">
      <c r="A18" s="4" t="s">
        <v>69</v>
      </c>
      <c r="B18" s="13">
        <f>SUM(B7:B17)</f>
        <v>11000000</v>
      </c>
      <c r="C18" s="13">
        <f t="shared" ref="C18:W18" si="1">SUM(C7:C17)</f>
        <v>16000000</v>
      </c>
      <c r="D18" s="13">
        <f t="shared" si="1"/>
        <v>0</v>
      </c>
      <c r="E18" s="13">
        <f t="shared" si="1"/>
        <v>0</v>
      </c>
      <c r="F18" s="13">
        <f t="shared" si="1"/>
        <v>0</v>
      </c>
      <c r="G18" s="13">
        <f t="shared" si="1"/>
        <v>0</v>
      </c>
      <c r="H18" s="13">
        <f t="shared" si="1"/>
        <v>0</v>
      </c>
      <c r="I18" s="13">
        <f t="shared" si="1"/>
        <v>0</v>
      </c>
      <c r="J18" s="13">
        <f t="shared" si="1"/>
        <v>0</v>
      </c>
      <c r="K18" s="13">
        <f t="shared" si="1"/>
        <v>0</v>
      </c>
      <c r="L18" s="13">
        <f t="shared" si="1"/>
        <v>0</v>
      </c>
      <c r="M18" s="13">
        <f t="shared" si="1"/>
        <v>0</v>
      </c>
      <c r="N18" s="13">
        <f t="shared" si="1"/>
        <v>0</v>
      </c>
      <c r="O18" s="13">
        <f t="shared" si="1"/>
        <v>0</v>
      </c>
      <c r="P18" s="13">
        <f t="shared" si="1"/>
        <v>0</v>
      </c>
      <c r="Q18" s="13">
        <f t="shared" si="1"/>
        <v>0</v>
      </c>
      <c r="R18" s="13">
        <f t="shared" si="1"/>
        <v>0</v>
      </c>
      <c r="S18" s="13">
        <f t="shared" si="1"/>
        <v>0</v>
      </c>
      <c r="T18" s="13">
        <f t="shared" si="1"/>
        <v>0</v>
      </c>
      <c r="U18" s="13">
        <f t="shared" si="1"/>
        <v>0</v>
      </c>
      <c r="V18" s="25">
        <f t="shared" si="1"/>
        <v>0</v>
      </c>
      <c r="W18" s="25">
        <f t="shared" si="1"/>
        <v>0</v>
      </c>
      <c r="X18" s="13">
        <f t="shared" si="0"/>
        <v>27000000</v>
      </c>
    </row>
    <row r="19" spans="1:24" ht="9.75" customHeight="1" x14ac:dyDescent="0.3">
      <c r="A19" s="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25"/>
      <c r="W19" s="25"/>
      <c r="X19" s="13"/>
    </row>
    <row r="20" spans="1:24" ht="19.5" customHeight="1" x14ac:dyDescent="0.3">
      <c r="A20" s="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7"/>
      <c r="W20" s="27"/>
      <c r="X20" s="26"/>
    </row>
    <row r="21" spans="1:24" x14ac:dyDescent="0.3">
      <c r="A21" s="14" t="s">
        <v>71</v>
      </c>
      <c r="B21" s="5" t="s">
        <v>59</v>
      </c>
      <c r="C21" s="5" t="s">
        <v>59</v>
      </c>
      <c r="D21" s="5" t="s">
        <v>59</v>
      </c>
      <c r="E21" s="5"/>
      <c r="F21" s="5"/>
      <c r="G21" s="5" t="s">
        <v>59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59</v>
      </c>
      <c r="S21" s="5"/>
      <c r="T21" s="5"/>
      <c r="U21" s="5"/>
      <c r="V21" s="5"/>
      <c r="W21" s="5"/>
      <c r="X21" s="4"/>
    </row>
    <row r="22" spans="1:24" x14ac:dyDescent="0.3">
      <c r="A22" s="14" t="s">
        <v>72</v>
      </c>
      <c r="B22" s="5" t="s">
        <v>59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  <c r="H22" s="5" t="s">
        <v>59</v>
      </c>
      <c r="I22" s="5"/>
      <c r="J22" s="5"/>
      <c r="K22" s="5"/>
      <c r="L22" s="5"/>
      <c r="M22" s="5"/>
      <c r="N22" s="5"/>
      <c r="O22" s="5"/>
      <c r="P22" s="5"/>
      <c r="Q22" s="5"/>
      <c r="R22" s="5" t="s">
        <v>59</v>
      </c>
      <c r="S22" s="5"/>
      <c r="T22" s="5"/>
      <c r="U22" s="5"/>
      <c r="V22" s="5"/>
      <c r="W22" s="5"/>
      <c r="X22" s="4"/>
    </row>
    <row r="23" spans="1:24" x14ac:dyDescent="0.3">
      <c r="A23" s="14" t="s">
        <v>73</v>
      </c>
      <c r="B23" s="5"/>
      <c r="C23" s="5"/>
      <c r="D23" s="5"/>
      <c r="E23" s="5"/>
      <c r="F23" s="5"/>
      <c r="G23" s="5"/>
      <c r="H23" s="5"/>
      <c r="I23" s="5" t="s">
        <v>59</v>
      </c>
      <c r="J23" s="5" t="s">
        <v>59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 t="s">
        <v>59</v>
      </c>
      <c r="V23" s="5"/>
      <c r="W23" s="5"/>
      <c r="X23" s="4"/>
    </row>
    <row r="24" spans="1:24" x14ac:dyDescent="0.3">
      <c r="A24" s="14" t="s">
        <v>74</v>
      </c>
      <c r="B24" s="5" t="s">
        <v>59</v>
      </c>
      <c r="C24" s="5" t="s">
        <v>59</v>
      </c>
      <c r="D24" s="5" t="s">
        <v>59</v>
      </c>
      <c r="E24" s="5" t="s">
        <v>59</v>
      </c>
      <c r="F24" s="5" t="s">
        <v>59</v>
      </c>
      <c r="G24" s="5" t="s">
        <v>59</v>
      </c>
      <c r="H24" s="5" t="s">
        <v>59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</row>
    <row r="25" spans="1:24" x14ac:dyDescent="0.3">
      <c r="A25" s="14" t="s">
        <v>78</v>
      </c>
      <c r="B25" s="5" t="s">
        <v>59</v>
      </c>
      <c r="C25" s="5" t="s">
        <v>59</v>
      </c>
      <c r="D25" s="5"/>
      <c r="E25" s="5"/>
      <c r="F25" s="5"/>
      <c r="G25" s="5"/>
      <c r="H25" s="5"/>
      <c r="I25" s="5"/>
      <c r="J25" s="5" t="s">
        <v>59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</row>
    <row r="26" spans="1:24" x14ac:dyDescent="0.3">
      <c r="A26" s="14" t="s">
        <v>75</v>
      </c>
      <c r="B26" s="5" t="s">
        <v>59</v>
      </c>
      <c r="C26" s="5" t="s">
        <v>59</v>
      </c>
      <c r="D26" s="5" t="s">
        <v>59</v>
      </c>
      <c r="E26" s="5" t="s">
        <v>59</v>
      </c>
      <c r="F26" s="5" t="s">
        <v>59</v>
      </c>
      <c r="G26" s="5" t="s">
        <v>59</v>
      </c>
      <c r="H26" s="5" t="s">
        <v>59</v>
      </c>
      <c r="I26" s="5" t="s">
        <v>59</v>
      </c>
      <c r="J26" s="5" t="s">
        <v>59</v>
      </c>
      <c r="K26" s="5" t="s">
        <v>59</v>
      </c>
      <c r="L26" s="5" t="s">
        <v>59</v>
      </c>
      <c r="M26" s="5" t="s">
        <v>59</v>
      </c>
      <c r="N26" s="5" t="s">
        <v>59</v>
      </c>
      <c r="O26" s="5" t="s">
        <v>59</v>
      </c>
      <c r="P26" s="5" t="s">
        <v>59</v>
      </c>
      <c r="Q26" s="5" t="s">
        <v>59</v>
      </c>
      <c r="R26" s="5" t="s">
        <v>59</v>
      </c>
      <c r="S26" s="5" t="s">
        <v>59</v>
      </c>
      <c r="T26" s="5" t="s">
        <v>59</v>
      </c>
      <c r="U26" s="5" t="s">
        <v>59</v>
      </c>
      <c r="V26" s="5" t="s">
        <v>59</v>
      </c>
      <c r="W26" s="5" t="s">
        <v>59</v>
      </c>
      <c r="X26" s="4"/>
    </row>
    <row r="27" spans="1:24" x14ac:dyDescent="0.3">
      <c r="A27" s="14" t="s">
        <v>67</v>
      </c>
      <c r="B27" s="5" t="s">
        <v>59</v>
      </c>
      <c r="C27" s="5" t="s">
        <v>59</v>
      </c>
      <c r="D27" s="5" t="s">
        <v>59</v>
      </c>
      <c r="E27" s="5" t="s">
        <v>59</v>
      </c>
      <c r="F27" s="5" t="s">
        <v>59</v>
      </c>
      <c r="G27" s="5" t="s">
        <v>59</v>
      </c>
      <c r="H27" s="5" t="s">
        <v>59</v>
      </c>
      <c r="I27" s="5" t="s">
        <v>59</v>
      </c>
      <c r="J27" s="5" t="s">
        <v>59</v>
      </c>
      <c r="K27" s="5" t="s">
        <v>59</v>
      </c>
      <c r="L27" s="5" t="s">
        <v>59</v>
      </c>
      <c r="M27" s="5" t="s">
        <v>59</v>
      </c>
      <c r="N27" s="5" t="s">
        <v>59</v>
      </c>
      <c r="O27" s="5" t="s">
        <v>59</v>
      </c>
      <c r="P27" s="5" t="s">
        <v>59</v>
      </c>
      <c r="Q27" s="5" t="s">
        <v>59</v>
      </c>
      <c r="R27" s="5" t="s">
        <v>59</v>
      </c>
      <c r="S27" s="5" t="s">
        <v>59</v>
      </c>
      <c r="T27" s="5" t="s">
        <v>59</v>
      </c>
      <c r="U27" s="5" t="s">
        <v>59</v>
      </c>
      <c r="V27" s="5" t="s">
        <v>59</v>
      </c>
      <c r="W27" s="5" t="s">
        <v>59</v>
      </c>
      <c r="X27" s="4"/>
    </row>
    <row r="28" spans="1:24" x14ac:dyDescent="0.3">
      <c r="A28" s="14" t="s">
        <v>76</v>
      </c>
      <c r="B28" s="5" t="s">
        <v>59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  <c r="H28" s="5" t="s">
        <v>59</v>
      </c>
      <c r="I28" s="5" t="s">
        <v>59</v>
      </c>
      <c r="J28" s="5" t="s">
        <v>59</v>
      </c>
      <c r="K28" s="5" t="s">
        <v>59</v>
      </c>
      <c r="L28" s="5" t="s">
        <v>59</v>
      </c>
      <c r="M28" s="5" t="s">
        <v>59</v>
      </c>
      <c r="N28" s="5" t="s">
        <v>59</v>
      </c>
      <c r="O28" s="5" t="s">
        <v>59</v>
      </c>
      <c r="P28" s="5" t="s">
        <v>59</v>
      </c>
      <c r="Q28" s="5" t="s">
        <v>59</v>
      </c>
      <c r="R28" s="5" t="s">
        <v>59</v>
      </c>
      <c r="S28" s="5" t="s">
        <v>59</v>
      </c>
      <c r="T28" s="5" t="s">
        <v>59</v>
      </c>
      <c r="U28" s="5" t="s">
        <v>59</v>
      </c>
      <c r="V28" s="5" t="s">
        <v>59</v>
      </c>
      <c r="W28" s="5" t="s">
        <v>59</v>
      </c>
      <c r="X28" s="4"/>
    </row>
    <row r="29" spans="1:24" x14ac:dyDescent="0.3">
      <c r="A29" s="14" t="s">
        <v>77</v>
      </c>
      <c r="B29" s="5" t="s">
        <v>59</v>
      </c>
      <c r="C29" s="5" t="s">
        <v>59</v>
      </c>
      <c r="D29" s="5" t="s">
        <v>59</v>
      </c>
      <c r="E29" s="5" t="s">
        <v>59</v>
      </c>
      <c r="F29" s="5" t="s">
        <v>59</v>
      </c>
      <c r="G29" s="5" t="s">
        <v>59</v>
      </c>
      <c r="H29" s="5" t="s">
        <v>59</v>
      </c>
      <c r="I29" s="5" t="s">
        <v>59</v>
      </c>
      <c r="J29" s="5" t="s">
        <v>59</v>
      </c>
      <c r="K29" s="5" t="s">
        <v>59</v>
      </c>
      <c r="L29" s="5" t="s">
        <v>59</v>
      </c>
      <c r="M29" s="5" t="s">
        <v>59</v>
      </c>
      <c r="N29" s="5" t="s">
        <v>59</v>
      </c>
      <c r="O29" s="5" t="s">
        <v>59</v>
      </c>
      <c r="P29" s="5" t="s">
        <v>59</v>
      </c>
      <c r="Q29" s="5" t="s">
        <v>59</v>
      </c>
      <c r="R29" s="5" t="s">
        <v>59</v>
      </c>
      <c r="S29" s="5" t="s">
        <v>59</v>
      </c>
      <c r="T29" s="5" t="s">
        <v>59</v>
      </c>
      <c r="U29" s="5" t="s">
        <v>59</v>
      </c>
      <c r="V29" s="5" t="s">
        <v>59</v>
      </c>
      <c r="W29" s="5" t="s">
        <v>59</v>
      </c>
      <c r="X29" s="4"/>
    </row>
    <row r="30" spans="1:24" x14ac:dyDescent="0.3">
      <c r="A30" s="15" t="s">
        <v>68</v>
      </c>
      <c r="B30" s="6" t="s">
        <v>59</v>
      </c>
      <c r="C30" s="6" t="s">
        <v>59</v>
      </c>
      <c r="D30" s="6" t="s">
        <v>59</v>
      </c>
      <c r="E30" s="6"/>
      <c r="F30" s="6" t="s">
        <v>59</v>
      </c>
      <c r="G30" s="6" t="s">
        <v>59</v>
      </c>
      <c r="H30" s="6" t="s">
        <v>59</v>
      </c>
      <c r="I30" s="6" t="s">
        <v>59</v>
      </c>
      <c r="J30" s="6" t="s">
        <v>59</v>
      </c>
      <c r="K30" s="6" t="s">
        <v>59</v>
      </c>
      <c r="L30" s="6"/>
      <c r="M30" s="6"/>
      <c r="N30" s="6" t="s">
        <v>59</v>
      </c>
      <c r="O30" s="6" t="s">
        <v>59</v>
      </c>
      <c r="P30" s="6" t="s">
        <v>59</v>
      </c>
      <c r="Q30" s="6" t="s">
        <v>59</v>
      </c>
      <c r="R30" s="6" t="s">
        <v>59</v>
      </c>
      <c r="S30" s="6" t="s">
        <v>59</v>
      </c>
      <c r="T30" s="6" t="s">
        <v>59</v>
      </c>
      <c r="U30" s="6" t="s">
        <v>59</v>
      </c>
      <c r="V30" s="6" t="s">
        <v>59</v>
      </c>
      <c r="W30" s="6" t="s">
        <v>59</v>
      </c>
      <c r="X30" s="8"/>
    </row>
  </sheetData>
  <phoneticPr fontId="2" type="noConversion"/>
  <pageMargins left="0.7" right="0.7" top="0.75" bottom="0.75" header="0.3" footer="0.3"/>
  <pageSetup paperSize="9" orientation="portrait" copies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 직원별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상기 박</dc:creator>
  <cp:lastModifiedBy>nagyeong hwang</cp:lastModifiedBy>
  <cp:lastPrinted>2026-01-14T00:31:27Z</cp:lastPrinted>
  <dcterms:created xsi:type="dcterms:W3CDTF">2024-04-18T00:07:16Z</dcterms:created>
  <dcterms:modified xsi:type="dcterms:W3CDTF">2026-04-13T01:43:53Z</dcterms:modified>
</cp:coreProperties>
</file>